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globalvale-my.sharepoint.com/personal/c0650768_vale_com/Documents/Arquivos de Chat do Microsoft Teams/"/>
    </mc:Choice>
  </mc:AlternateContent>
  <xr:revisionPtr revIDLastSave="2" documentId="13_ncr:1_{B434F0CD-2618-4330-B00C-BF866873A585}" xr6:coauthVersionLast="47" xr6:coauthVersionMax="47" xr10:uidLastSave="{12EC82D1-3306-4290-B384-D139EB1A2497}"/>
  <bookViews>
    <workbookView xWindow="20370" yWindow="-120" windowWidth="29040" windowHeight="16440" xr2:uid="{00000000-000D-0000-FFFF-FFFF00000000}"/>
  </bookViews>
  <sheets>
    <sheet name="Firewall rules" sheetId="1" r:id="rId1"/>
    <sheet name="Inter Zone Connectivity" sheetId="2" r:id="rId2"/>
    <sheet name="Information Classification" sheetId="10" r:id="rId3"/>
    <sheet name="Info" sheetId="9" state="veryHidden" r:id="rId4"/>
  </sheets>
  <definedNames>
    <definedName name="Destination_Zone">'Inter Zone Connectivity'!$C$2:$T$2</definedName>
    <definedName name="InterZone_Validation">'Inter Zone Connectivity'!$C$3:$T$20</definedName>
    <definedName name="Source_Zone">'Inter Zone Connectivity'!$B$3:$B$20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8" i="1" l="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<sst xmlns="http://schemas.openxmlformats.org/spreadsheetml/2006/main" count="460" uniqueCount="99">
  <si>
    <t>CI Firewall Associated - Hostname</t>
  </si>
  <si>
    <t>Environment</t>
  </si>
  <si>
    <t>Source Zone</t>
  </si>
  <si>
    <t>Source IP address</t>
  </si>
  <si>
    <t>Source Mask</t>
  </si>
  <si>
    <t>Destination Zone</t>
  </si>
  <si>
    <t>Destination IP address</t>
  </si>
  <si>
    <t>Destination Mask</t>
  </si>
  <si>
    <t>InterZone Validation</t>
  </si>
  <si>
    <t>Action</t>
  </si>
  <si>
    <t>Protocol</t>
  </si>
  <si>
    <t>Ports or Port Ranges</t>
  </si>
  <si>
    <t>Application / Infrastructure Devices</t>
  </si>
  <si>
    <t>Information Classification</t>
  </si>
  <si>
    <t>URL for technical documentation or files</t>
  </si>
  <si>
    <t>PS: It is mandatory to fill in all the columns of the "Firewall rules" and "Questions" tabs.</t>
  </si>
  <si>
    <t>TO</t>
  </si>
  <si>
    <t>FROM</t>
  </si>
  <si>
    <t>Zones</t>
  </si>
  <si>
    <t>Internet</t>
  </si>
  <si>
    <t>Partner Edge</t>
  </si>
  <si>
    <t>Extranet</t>
  </si>
  <si>
    <t>Internet DMZ</t>
  </si>
  <si>
    <t>Guest</t>
  </si>
  <si>
    <t>IOT</t>
  </si>
  <si>
    <t>Valenet Server</t>
  </si>
  <si>
    <t>Valenet</t>
  </si>
  <si>
    <t>LTE</t>
  </si>
  <si>
    <t>iDMZ 2.0</t>
  </si>
  <si>
    <t>IIOT</t>
  </si>
  <si>
    <t>Management</t>
  </si>
  <si>
    <t>OT Level 3</t>
  </si>
  <si>
    <t>OT Level 2</t>
  </si>
  <si>
    <t>OT Level 2 - Non-Control Systems</t>
  </si>
  <si>
    <t>OT Level 1</t>
  </si>
  <si>
    <t>OT L2 Non-Control Systems</t>
  </si>
  <si>
    <t>Radio Zone</t>
  </si>
  <si>
    <t>YES</t>
  </si>
  <si>
    <t>NA</t>
  </si>
  <si>
    <t>NA = Not Allowed</t>
  </si>
  <si>
    <t>*Only for minimum services (Antivirus, WSUS, Vulnerability Scanning).</t>
  </si>
  <si>
    <t>HLD - Inter Zone Connectivity - Network Flow - Cyber Rules</t>
  </si>
  <si>
    <t xml:space="preserve">ALLOWED - </t>
  </si>
  <si>
    <t>Communication within the same zone</t>
  </si>
  <si>
    <t>Classification</t>
  </si>
  <si>
    <t>Definition</t>
  </si>
  <si>
    <t>Scope</t>
  </si>
  <si>
    <t>Examples</t>
  </si>
  <si>
    <t>Confidential</t>
  </si>
  <si>
    <t>Information of strategic importance for
the success of Vale’s business. If
unavailable, corrupted or accessed
improperly can cause financial impacts,
among others, like level E, F or G (see
severity impact table on Operational
Risk Management Standard NFN-0001),
and may also impact Vale stock price,
affecting competitive advantage and
judicial penalties. Confidential
information is restricted to the
audience indicated by the Information
Manager.</t>
  </si>
  <si>
    <t>Usually confidential
information is those that
circulate within the Board of
Directors, Executive Board,
Supervisory Board and
Advisory Committees of Vale,
but can be created or
manipulated by any Vale
employee or service providers.</t>
  </si>
  <si>
    <t>Examples of confidential information
are: financial results and undisclosed
commercial agreements, corporate
budgeting, strategic planning, not
disclosed crisis information,
privileged information management
or business administration.</t>
  </si>
  <si>
    <t>Restricted</t>
  </si>
  <si>
    <t>Information that if unavailable,
corrupted or accessed improperly can
generate impact of level C or D to Vale,
its clients, its partners and employees.
The access to restricted information is
limited to a restricted group of users
who need to use it due to their
designated function or activity.</t>
  </si>
  <si>
    <t>Usually, restricted information
is those that circulate among a
specific group of departments,
members of a project or
process.</t>
  </si>
  <si>
    <t xml:space="preserve">Examples of restricted information
are: information of projects, asset´s
security, contracts and commercial
agreements.
</t>
  </si>
  <si>
    <t>Internal use</t>
  </si>
  <si>
    <t xml:space="preserve">Information intended for internal use
by employees and service providers of
Vale. If they are unavailable, corrupted
or accessed improperly can generate
impact of level A or B.
</t>
  </si>
  <si>
    <t>Usually shared internally and
not intended for distribution
outside the corporate context</t>
  </si>
  <si>
    <t>Examples of information for internal
use are: corporate policies and
procedures, training materials,
campaigns, information to support
employees available on the company
intranet.</t>
  </si>
  <si>
    <t>Public</t>
  </si>
  <si>
    <t xml:space="preserve">Information that can be distributed to
the external public, which usually is
done through proper corporate
channels.
</t>
  </si>
  <si>
    <t xml:space="preserve">Usually, those are public
information disclosed by
communication or investor
relationship department, but
may be created or
manipulated by any Vale
employee or third parties. </t>
  </si>
  <si>
    <t>Examples of public information are
those available in public domain,
such as Vale institutional sites and
those disclosed to investors and
press by Vale’s authorized areas.</t>
  </si>
  <si>
    <t>Reference: NFN-0014 Rev.: 13 - 30/09/2020</t>
  </si>
  <si>
    <t>Development</t>
  </si>
  <si>
    <t>QA / UAT / Test</t>
  </si>
  <si>
    <t>Production</t>
  </si>
  <si>
    <t>Disaster Recovery</t>
  </si>
  <si>
    <t>Project</t>
  </si>
  <si>
    <t>Permit</t>
  </si>
  <si>
    <t>Whether you are allowing traffic that matches the rule or dropping it</t>
  </si>
  <si>
    <t>Deny</t>
  </si>
  <si>
    <t>Delete</t>
  </si>
  <si>
    <t>Inbound</t>
  </si>
  <si>
    <t>Inbound connections include communications from other computers with yours.</t>
  </si>
  <si>
    <t>Outbound</t>
  </si>
  <si>
    <t>Outgoing connections include your computer's communications with others.</t>
  </si>
  <si>
    <t>Not applicable</t>
  </si>
  <si>
    <t>Source</t>
  </si>
  <si>
    <t>Destination</t>
  </si>
  <si>
    <t>TCP</t>
  </si>
  <si>
    <t>UDP</t>
  </si>
  <si>
    <t>ICMP ECHO (PING)</t>
  </si>
  <si>
    <t>NO</t>
  </si>
  <si>
    <t>255.255.0.0/16</t>
  </si>
  <si>
    <t>255.255.240.0/20</t>
  </si>
  <si>
    <t>255.255.248.0/21</t>
  </si>
  <si>
    <t>255.255.252.0/22</t>
  </si>
  <si>
    <t>255.255.254.0/23</t>
  </si>
  <si>
    <t>255.255.255.0/24</t>
  </si>
  <si>
    <t>255.255.255.128/25</t>
  </si>
  <si>
    <t>255.255.255.192/26</t>
  </si>
  <si>
    <t>255.255.255.224/27</t>
  </si>
  <si>
    <t>255.255.255.240/28</t>
  </si>
  <si>
    <t>255.255.255.248/29</t>
  </si>
  <si>
    <t>255.255.255.252/30</t>
  </si>
  <si>
    <t>255.255.255.254/31</t>
  </si>
  <si>
    <t>255.255.255.255/32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</si>
</sst>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i/>
      <sz val="11"/>
      <color theme="1"/>
      <name val="Calibri"/>
      <family val="2"/>
      <scheme val="minor"/>
    </font>
    <font>
      <i/>
      <sz val="11"/>
      <color theme="1"/>
      <name val="Calibri"/>
      <family val="2"/>
      <scheme val="minor"/>
    </font>
    <font>
      <b/>
      <sz val="11"/>
      <color theme="1"/>
      <name val="Calibri"/>
      <family val="2"/>
      <scheme val="minor"/>
    </font>
    <font>
      <b/>
      <sz val="14"/>
      <color theme="1"/>
      <name val="Calibri"/>
      <family val="2"/>
      <scheme val="minor"/>
    </font>
    <font>
      <b/>
      <sz val="16"/>
      <color rgb="FFFF0000"/>
      <name val="Calibri"/>
      <family val="2"/>
      <scheme val="minor"/>
    </font>
    <font>
      <b/>
      <sz val="13"/>
      <name val="Calibri"/>
      <family val="2"/>
      <scheme val="minor"/>
    </font>
    <font>
      <b/>
      <sz val="13"/>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s>
  <fills count="9">
    <fill>
      <patternFill patternType="none"/>
    </fill>
    <fill>
      <patternFill patternType="gray125"/>
    </fill>
    <fill>
      <patternFill patternType="solid">
        <fgColor theme="1"/>
        <bgColor indexed="64"/>
      </patternFill>
    </fill>
    <fill>
      <patternFill patternType="solid">
        <fgColor theme="7"/>
        <bgColor indexed="64"/>
      </patternFill>
    </fill>
    <fill>
      <patternFill patternType="solid">
        <fgColor rgb="FF7030A0"/>
        <bgColor indexed="64"/>
      </patternFill>
    </fill>
    <fill>
      <patternFill patternType="solid">
        <fgColor theme="0" tint="-0.14999847407452621"/>
        <bgColor indexed="64"/>
      </patternFill>
    </fill>
    <fill>
      <patternFill patternType="solid">
        <fgColor rgb="FF339966"/>
        <bgColor indexed="64"/>
      </patternFill>
    </fill>
    <fill>
      <patternFill patternType="solid">
        <fgColor rgb="FFFFFF00"/>
        <bgColor indexed="64"/>
      </patternFill>
    </fill>
    <fill>
      <patternFill patternType="solid">
        <fgColor theme="8"/>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s>
  <cellStyleXfs count="2">
    <xf numFmtId="0" fontId="0" fillId="0" borderId="0"/>
    <xf numFmtId="0" fontId="10" fillId="0" borderId="0" applyNumberFormat="0" applyFill="0" applyBorder="0" applyAlignment="0" applyProtection="0"/>
  </cellStyleXfs>
  <cellXfs count="28">
    <xf numFmtId="0" fontId="0" fillId="0" borderId="0" xfId="0"/>
    <xf numFmtId="0" fontId="2" fillId="0" borderId="1" xfId="0" applyFont="1" applyBorder="1"/>
    <xf numFmtId="0" fontId="9" fillId="6" borderId="1" xfId="0" applyFont="1" applyFill="1" applyBorder="1" applyAlignment="1">
      <alignment horizontal="center" vertical="center"/>
    </xf>
    <xf numFmtId="0" fontId="0" fillId="0" borderId="0" xfId="0" applyAlignment="1">
      <alignment horizontal="center" vertical="center"/>
    </xf>
    <xf numFmtId="0" fontId="0" fillId="0" borderId="1" xfId="0" applyBorder="1" applyAlignment="1" applyProtection="1">
      <alignment horizontal="center" vertical="center"/>
      <protection locked="0"/>
    </xf>
    <xf numFmtId="0" fontId="8" fillId="0" borderId="0" xfId="0" applyFont="1" applyAlignment="1">
      <alignment horizontal="center" vertical="center"/>
    </xf>
    <xf numFmtId="0" fontId="0" fillId="0" borderId="1" xfId="0" applyBorder="1"/>
    <xf numFmtId="0" fontId="1" fillId="3" borderId="1" xfId="0" applyFont="1" applyFill="1" applyBorder="1" applyAlignment="1">
      <alignment horizontal="center" vertical="center"/>
    </xf>
    <xf numFmtId="0" fontId="0" fillId="2" borderId="1" xfId="0" applyFill="1" applyBorder="1"/>
    <xf numFmtId="0" fontId="0" fillId="4" borderId="1" xfId="0" applyFill="1" applyBorder="1"/>
    <xf numFmtId="0" fontId="7" fillId="0" borderId="0" xfId="0" applyFont="1" applyAlignment="1">
      <alignment horizontal="center" vertical="center"/>
    </xf>
    <xf numFmtId="0" fontId="2" fillId="0" borderId="0" xfId="0" applyFont="1"/>
    <xf numFmtId="0" fontId="10" fillId="0" borderId="0" xfId="1" applyProtection="1"/>
    <xf numFmtId="0" fontId="0" fillId="0" borderId="0" xfId="0" applyAlignment="1" applyProtection="1">
      <alignment horizontal="center" vertical="center"/>
      <protection locked="0"/>
    </xf>
    <xf numFmtId="0" fontId="0" fillId="5" borderId="1" xfId="0" applyFill="1" applyBorder="1" applyAlignment="1" applyProtection="1">
      <alignment horizontal="center" vertical="center"/>
      <protection hidden="1"/>
    </xf>
    <xf numFmtId="0" fontId="4" fillId="0" borderId="1" xfId="0" applyFont="1" applyBorder="1" applyProtection="1">
      <protection hidden="1"/>
    </xf>
    <xf numFmtId="0" fontId="0" fillId="0" borderId="0" xfId="0" applyProtection="1">
      <protection hidden="1"/>
    </xf>
    <xf numFmtId="0" fontId="3" fillId="0" borderId="1" xfId="0" applyFont="1" applyBorder="1" applyProtection="1">
      <protection hidden="1"/>
    </xf>
    <xf numFmtId="0" fontId="0" fillId="0" borderId="1" xfId="0" applyBorder="1" applyAlignment="1" applyProtection="1">
      <alignment horizontal="left" vertical="center" wrapText="1"/>
      <protection hidden="1"/>
    </xf>
    <xf numFmtId="0" fontId="3" fillId="0" borderId="0" xfId="0" applyFont="1" applyProtection="1">
      <protection hidden="1"/>
    </xf>
    <xf numFmtId="0" fontId="0" fillId="7" borderId="0" xfId="0" applyFill="1"/>
    <xf numFmtId="0" fontId="0" fillId="8" borderId="0" xfId="0" applyFill="1"/>
    <xf numFmtId="0" fontId="0" fillId="7" borderId="1" xfId="0" applyFill="1" applyBorder="1"/>
    <xf numFmtId="0" fontId="5" fillId="0" borderId="2" xfId="0" applyFont="1" applyBorder="1" applyAlignment="1">
      <alignment horizontal="center" vertical="center"/>
    </xf>
    <xf numFmtId="0" fontId="6" fillId="0" borderId="1" xfId="0" applyFont="1" applyBorder="1" applyAlignment="1">
      <alignment horizont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0" fillId="0" borderId="0" xfId="0" applyAlignment="1">
      <alignment horizontal="center" vertical="center" wrapText="1"/>
    </xf>
  </cellXfs>
  <cellStyles count="2">
    <cellStyle name="Hiperlink" xfId="1" builtinId="8"/>
    <cellStyle name="Normal" xfId="0" builtinId="0"/>
  </cellStyles>
  <dxfs count="4">
    <dxf>
      <font>
        <b/>
        <i val="0"/>
        <color auto="1"/>
      </font>
      <fill>
        <patternFill>
          <bgColor rgb="FF00B050"/>
        </patternFill>
      </fill>
    </dxf>
    <dxf>
      <font>
        <b/>
        <i val="0"/>
        <color theme="0"/>
      </font>
      <fill>
        <patternFill>
          <bgColor rgb="FFFF0000"/>
        </patternFill>
      </fill>
    </dxf>
    <dxf>
      <fill>
        <patternFill>
          <bgColor rgb="FF00B0F0"/>
        </patternFill>
      </fill>
    </dxf>
    <dxf>
      <fill>
        <patternFill>
          <bgColor rgb="FFFFFF00"/>
        </patternFill>
      </fill>
    </dxf>
  </dxfs>
  <tableStyles count="0" defaultTableStyle="TableStyleMedium2" defaultPivotStyle="PivotStyleLight16"/>
  <colors>
    <mruColors>
      <color rgb="FF33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vale.leanix.net/ValeProduction/diagrams/freedraw/b453179f-a042-47bb-aa51-540583673533?returnUrl=%2Fdiagrams%2Foverview%2Fall-diagram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sheetPr>
  <dimension ref="A1:O29"/>
  <sheetViews>
    <sheetView showGridLines="0" tabSelected="1" zoomScaleNormal="100" workbookViewId="0">
      <selection activeCell="F2" sqref="F2"/>
    </sheetView>
  </sheetViews>
  <sheetFormatPr defaultColWidth="12.42578125" defaultRowHeight="15" x14ac:dyDescent="0.25"/>
  <cols>
    <col min="1" max="1" width="41.42578125" style="3" customWidth="1"/>
    <col min="2" max="2" width="16.85546875" style="3" bestFit="1" customWidth="1"/>
    <col min="3" max="3" width="31" style="3" customWidth="1"/>
    <col min="4" max="4" width="30.85546875" style="3" customWidth="1"/>
    <col min="5" max="5" width="21.42578125" style="3" customWidth="1"/>
    <col min="6" max="6" width="31" style="3" customWidth="1"/>
    <col min="7" max="7" width="30.85546875" style="3" customWidth="1"/>
    <col min="8" max="8" width="21.42578125" style="3" customWidth="1"/>
    <col min="9" max="9" width="21.5703125" style="3" bestFit="1" customWidth="1"/>
    <col min="10" max="10" width="14.7109375" style="3" customWidth="1"/>
    <col min="11" max="11" width="13.28515625" style="3" customWidth="1"/>
    <col min="12" max="13" width="21.42578125" style="3" customWidth="1"/>
    <col min="14" max="14" width="26.42578125" style="3" customWidth="1"/>
    <col min="15" max="15" width="41.42578125" style="3" bestFit="1" customWidth="1"/>
    <col min="16" max="16384" width="12.42578125" style="3"/>
  </cols>
  <sheetData>
    <row r="1" spans="1:15" s="5" customFormat="1" ht="15.7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25">
      <c r="A2" s="4"/>
      <c r="B2" s="4"/>
      <c r="C2" s="4" t="s">
        <v>31</v>
      </c>
      <c r="D2" s="4"/>
      <c r="E2" s="4"/>
      <c r="F2" s="4" t="s">
        <v>31</v>
      </c>
      <c r="G2" s="4"/>
      <c r="H2" s="4"/>
      <c r="I2" s="14" t="str">
        <f t="shared" ref="I2:I28" si="0">IF(INDEX(InterZone_Validation,MATCH($C2,Source_Zone,0),MATCH($F2,Destination_Zone,0))="YES","ALLOWED","NOT ALLOWED")</f>
        <v>ALLOWED</v>
      </c>
      <c r="J2" s="4"/>
      <c r="K2" s="4"/>
      <c r="L2" s="4"/>
      <c r="M2" s="4"/>
      <c r="N2" s="4"/>
      <c r="O2" s="4"/>
    </row>
    <row r="3" spans="1:15" x14ac:dyDescent="0.25">
      <c r="A3" s="13"/>
      <c r="B3" s="4"/>
      <c r="C3" s="4"/>
      <c r="D3" s="4"/>
      <c r="E3" s="4"/>
      <c r="F3" s="4"/>
      <c r="G3" s="4"/>
      <c r="H3" s="4"/>
      <c r="I3" s="14" t="e">
        <f t="shared" si="0"/>
        <v>#N/A</v>
      </c>
      <c r="J3" s="4"/>
      <c r="K3" s="4"/>
      <c r="L3" s="4"/>
      <c r="M3" s="4"/>
      <c r="N3" s="4"/>
      <c r="O3" s="4"/>
    </row>
    <row r="4" spans="1:15" x14ac:dyDescent="0.25">
      <c r="A4" s="4"/>
      <c r="B4" s="4"/>
      <c r="C4" s="4"/>
      <c r="D4" s="4"/>
      <c r="E4" s="4"/>
      <c r="F4" s="4"/>
      <c r="G4" s="4"/>
      <c r="H4" s="4"/>
      <c r="I4" s="14" t="e">
        <f t="shared" si="0"/>
        <v>#N/A</v>
      </c>
      <c r="J4" s="4"/>
      <c r="K4" s="4"/>
      <c r="L4" s="4"/>
      <c r="M4" s="4"/>
      <c r="N4" s="4"/>
      <c r="O4" s="4"/>
    </row>
    <row r="5" spans="1:15" x14ac:dyDescent="0.25">
      <c r="A5" s="4"/>
      <c r="B5" s="4"/>
      <c r="C5" s="4"/>
      <c r="D5" s="4"/>
      <c r="E5" s="4"/>
      <c r="F5" s="4"/>
      <c r="G5" s="4"/>
      <c r="H5" s="4"/>
      <c r="I5" s="14" t="e">
        <f t="shared" si="0"/>
        <v>#N/A</v>
      </c>
      <c r="J5" s="4"/>
      <c r="K5" s="4"/>
      <c r="L5" s="4"/>
      <c r="M5" s="4"/>
      <c r="N5" s="4"/>
      <c r="O5" s="4"/>
    </row>
    <row r="6" spans="1:15" x14ac:dyDescent="0.25">
      <c r="A6" s="4"/>
      <c r="B6" s="4"/>
      <c r="C6" s="4"/>
      <c r="D6" s="4"/>
      <c r="E6" s="4"/>
      <c r="F6" s="4"/>
      <c r="G6" s="4"/>
      <c r="H6" s="4"/>
      <c r="I6" s="14" t="e">
        <f t="shared" si="0"/>
        <v>#N/A</v>
      </c>
      <c r="J6" s="4"/>
      <c r="K6" s="4"/>
      <c r="L6" s="4"/>
      <c r="M6" s="4"/>
      <c r="N6" s="4"/>
      <c r="O6" s="4"/>
    </row>
    <row r="7" spans="1:15" x14ac:dyDescent="0.25">
      <c r="A7" s="4"/>
      <c r="B7" s="4"/>
      <c r="C7" s="4"/>
      <c r="D7" s="4"/>
      <c r="E7" s="4"/>
      <c r="F7" s="4"/>
      <c r="G7" s="4"/>
      <c r="H7" s="4"/>
      <c r="I7" s="14" t="e">
        <f t="shared" si="0"/>
        <v>#N/A</v>
      </c>
      <c r="J7" s="4"/>
      <c r="K7" s="4"/>
      <c r="L7" s="4"/>
      <c r="M7" s="4"/>
      <c r="N7" s="4"/>
      <c r="O7" s="4"/>
    </row>
    <row r="8" spans="1:15" x14ac:dyDescent="0.25">
      <c r="A8" s="4"/>
      <c r="B8" s="4"/>
      <c r="C8" s="4"/>
      <c r="D8" s="4"/>
      <c r="E8" s="4"/>
      <c r="F8" s="4"/>
      <c r="G8" s="4"/>
      <c r="H8" s="4"/>
      <c r="I8" s="14" t="e">
        <f t="shared" si="0"/>
        <v>#N/A</v>
      </c>
      <c r="J8" s="4"/>
      <c r="K8" s="4"/>
      <c r="L8" s="4"/>
      <c r="M8" s="4"/>
      <c r="N8" s="4"/>
      <c r="O8" s="4"/>
    </row>
    <row r="9" spans="1:15" x14ac:dyDescent="0.25">
      <c r="A9" s="4"/>
      <c r="B9" s="4"/>
      <c r="C9" s="4"/>
      <c r="D9" s="4"/>
      <c r="E9" s="4"/>
      <c r="F9" s="4"/>
      <c r="G9" s="4"/>
      <c r="H9" s="4"/>
      <c r="I9" s="14" t="e">
        <f t="shared" si="0"/>
        <v>#N/A</v>
      </c>
      <c r="J9" s="4"/>
      <c r="K9" s="4"/>
      <c r="L9" s="4"/>
      <c r="M9" s="4"/>
      <c r="N9" s="4"/>
      <c r="O9" s="4"/>
    </row>
    <row r="10" spans="1:15" x14ac:dyDescent="0.25">
      <c r="A10" s="4"/>
      <c r="B10" s="4"/>
      <c r="C10" s="4"/>
      <c r="D10" s="4"/>
      <c r="E10" s="4"/>
      <c r="F10" s="4"/>
      <c r="G10" s="4"/>
      <c r="H10" s="4"/>
      <c r="I10" s="14" t="e">
        <f t="shared" si="0"/>
        <v>#N/A</v>
      </c>
      <c r="J10" s="4"/>
      <c r="K10" s="4"/>
      <c r="L10" s="4"/>
      <c r="M10" s="4"/>
      <c r="N10" s="4"/>
      <c r="O10" s="4"/>
    </row>
    <row r="11" spans="1:15" x14ac:dyDescent="0.25">
      <c r="A11" s="4"/>
      <c r="B11" s="4"/>
      <c r="C11" s="4"/>
      <c r="D11" s="4"/>
      <c r="E11" s="4"/>
      <c r="F11" s="4"/>
      <c r="G11" s="4"/>
      <c r="H11" s="4"/>
      <c r="I11" s="14" t="e">
        <f t="shared" si="0"/>
        <v>#N/A</v>
      </c>
      <c r="J11" s="4"/>
      <c r="K11" s="4"/>
      <c r="L11" s="4"/>
      <c r="M11" s="4"/>
      <c r="N11" s="4"/>
      <c r="O11" s="4"/>
    </row>
    <row r="12" spans="1:15" x14ac:dyDescent="0.25">
      <c r="A12" s="4"/>
      <c r="B12" s="4"/>
      <c r="C12" s="4"/>
      <c r="D12" s="4"/>
      <c r="E12" s="4"/>
      <c r="F12" s="4"/>
      <c r="G12" s="4"/>
      <c r="H12" s="4"/>
      <c r="I12" s="14" t="e">
        <f t="shared" si="0"/>
        <v>#N/A</v>
      </c>
      <c r="J12" s="4"/>
      <c r="K12" s="4"/>
      <c r="L12" s="4"/>
      <c r="M12" s="4"/>
      <c r="N12" s="4"/>
      <c r="O12" s="4"/>
    </row>
    <row r="13" spans="1:15" x14ac:dyDescent="0.25">
      <c r="A13" s="4"/>
      <c r="B13" s="4"/>
      <c r="C13" s="4"/>
      <c r="D13" s="4"/>
      <c r="E13" s="4"/>
      <c r="F13" s="4"/>
      <c r="G13" s="4"/>
      <c r="H13" s="4"/>
      <c r="I13" s="14" t="e">
        <f t="shared" si="0"/>
        <v>#N/A</v>
      </c>
      <c r="J13" s="4"/>
      <c r="K13" s="4"/>
      <c r="L13" s="4"/>
      <c r="M13" s="4"/>
      <c r="N13" s="4"/>
      <c r="O13" s="4"/>
    </row>
    <row r="14" spans="1:15" x14ac:dyDescent="0.25">
      <c r="A14" s="4"/>
      <c r="B14" s="4"/>
      <c r="C14" s="4"/>
      <c r="D14" s="4"/>
      <c r="E14" s="4"/>
      <c r="F14" s="4"/>
      <c r="G14" s="4"/>
      <c r="H14" s="4"/>
      <c r="I14" s="14" t="e">
        <f t="shared" si="0"/>
        <v>#N/A</v>
      </c>
      <c r="J14" s="4"/>
      <c r="K14" s="4"/>
      <c r="L14" s="4"/>
      <c r="M14" s="4"/>
      <c r="N14" s="4"/>
      <c r="O14" s="4"/>
    </row>
    <row r="15" spans="1:15" x14ac:dyDescent="0.25">
      <c r="A15" s="4"/>
      <c r="B15" s="4"/>
      <c r="C15" s="4"/>
      <c r="D15" s="4"/>
      <c r="E15" s="4"/>
      <c r="F15" s="4"/>
      <c r="G15" s="4"/>
      <c r="H15" s="4"/>
      <c r="I15" s="14" t="e">
        <f t="shared" si="0"/>
        <v>#N/A</v>
      </c>
      <c r="J15" s="4"/>
      <c r="K15" s="4"/>
      <c r="L15" s="4"/>
      <c r="M15" s="4"/>
      <c r="N15" s="4"/>
      <c r="O15" s="4"/>
    </row>
    <row r="16" spans="1:15" x14ac:dyDescent="0.25">
      <c r="A16" s="4"/>
      <c r="B16" s="4"/>
      <c r="C16" s="4"/>
      <c r="D16" s="4"/>
      <c r="E16" s="4"/>
      <c r="F16" s="4"/>
      <c r="G16" s="4"/>
      <c r="H16" s="4"/>
      <c r="I16" s="14" t="e">
        <f t="shared" si="0"/>
        <v>#N/A</v>
      </c>
      <c r="J16" s="4"/>
      <c r="K16" s="4"/>
      <c r="L16" s="4"/>
      <c r="M16" s="4"/>
      <c r="N16" s="4"/>
      <c r="O16" s="4"/>
    </row>
    <row r="17" spans="1:15" x14ac:dyDescent="0.25">
      <c r="A17" s="4"/>
      <c r="B17" s="4"/>
      <c r="C17" s="4"/>
      <c r="D17" s="4"/>
      <c r="E17" s="4"/>
      <c r="F17" s="4"/>
      <c r="G17" s="4"/>
      <c r="H17" s="4"/>
      <c r="I17" s="14" t="e">
        <f t="shared" si="0"/>
        <v>#N/A</v>
      </c>
      <c r="J17" s="4"/>
      <c r="K17" s="4"/>
      <c r="L17" s="4"/>
      <c r="M17" s="4"/>
      <c r="N17" s="4"/>
      <c r="O17" s="4"/>
    </row>
    <row r="18" spans="1:15" x14ac:dyDescent="0.25">
      <c r="A18" s="4"/>
      <c r="B18" s="4"/>
      <c r="C18" s="4"/>
      <c r="D18" s="4"/>
      <c r="E18" s="4"/>
      <c r="F18" s="4"/>
      <c r="G18" s="4"/>
      <c r="H18" s="4"/>
      <c r="I18" s="14" t="e">
        <f t="shared" si="0"/>
        <v>#N/A</v>
      </c>
      <c r="J18" s="4"/>
      <c r="K18" s="4"/>
      <c r="L18" s="4"/>
      <c r="M18" s="4"/>
      <c r="N18" s="4"/>
      <c r="O18" s="4"/>
    </row>
    <row r="19" spans="1:15" x14ac:dyDescent="0.25">
      <c r="A19" s="4"/>
      <c r="B19" s="4"/>
      <c r="C19" s="4"/>
      <c r="D19" s="4"/>
      <c r="E19" s="4"/>
      <c r="F19" s="4"/>
      <c r="G19" s="4"/>
      <c r="H19" s="4"/>
      <c r="I19" s="14" t="e">
        <f t="shared" si="0"/>
        <v>#N/A</v>
      </c>
      <c r="J19" s="4"/>
      <c r="K19" s="4"/>
      <c r="L19" s="4"/>
      <c r="M19" s="4"/>
      <c r="N19" s="4"/>
      <c r="O19" s="4"/>
    </row>
    <row r="20" spans="1:15" x14ac:dyDescent="0.25">
      <c r="A20" s="4"/>
      <c r="B20" s="4"/>
      <c r="C20" s="4"/>
      <c r="D20" s="4"/>
      <c r="E20" s="4"/>
      <c r="F20" s="4"/>
      <c r="G20" s="4"/>
      <c r="H20" s="4"/>
      <c r="I20" s="14" t="e">
        <f t="shared" si="0"/>
        <v>#N/A</v>
      </c>
      <c r="J20" s="4"/>
      <c r="K20" s="4"/>
      <c r="L20" s="4"/>
      <c r="M20" s="4"/>
      <c r="N20" s="4"/>
      <c r="O20" s="4"/>
    </row>
    <row r="21" spans="1:15" x14ac:dyDescent="0.25">
      <c r="A21" s="4"/>
      <c r="B21" s="4"/>
      <c r="C21" s="4"/>
      <c r="D21" s="4"/>
      <c r="E21" s="4"/>
      <c r="F21" s="4"/>
      <c r="G21" s="4"/>
      <c r="H21" s="4"/>
      <c r="I21" s="14" t="e">
        <f t="shared" si="0"/>
        <v>#N/A</v>
      </c>
      <c r="J21" s="4"/>
      <c r="K21" s="4"/>
      <c r="L21" s="4"/>
      <c r="M21" s="4"/>
      <c r="N21" s="4"/>
      <c r="O21" s="4"/>
    </row>
    <row r="22" spans="1:15" x14ac:dyDescent="0.25">
      <c r="A22" s="4"/>
      <c r="B22" s="4"/>
      <c r="C22" s="4"/>
      <c r="D22" s="4"/>
      <c r="E22" s="4"/>
      <c r="F22" s="4"/>
      <c r="G22" s="4"/>
      <c r="H22" s="4"/>
      <c r="I22" s="14" t="e">
        <f t="shared" si="0"/>
        <v>#N/A</v>
      </c>
      <c r="J22" s="4"/>
      <c r="K22" s="4"/>
      <c r="L22" s="4"/>
      <c r="M22" s="4"/>
      <c r="N22" s="4"/>
      <c r="O22" s="4"/>
    </row>
    <row r="23" spans="1:15" x14ac:dyDescent="0.25">
      <c r="A23" s="4"/>
      <c r="B23" s="4"/>
      <c r="C23" s="4"/>
      <c r="D23" s="4"/>
      <c r="E23" s="4"/>
      <c r="F23" s="4"/>
      <c r="G23" s="4"/>
      <c r="H23" s="4"/>
      <c r="I23" s="14" t="e">
        <f t="shared" si="0"/>
        <v>#N/A</v>
      </c>
      <c r="J23" s="4"/>
      <c r="K23" s="4"/>
      <c r="L23" s="4"/>
      <c r="M23" s="4"/>
      <c r="N23" s="4"/>
      <c r="O23" s="4"/>
    </row>
    <row r="24" spans="1:15" x14ac:dyDescent="0.25">
      <c r="A24" s="4"/>
      <c r="B24" s="4"/>
      <c r="C24" s="4"/>
      <c r="D24" s="4"/>
      <c r="E24" s="4"/>
      <c r="F24" s="4"/>
      <c r="G24" s="4"/>
      <c r="H24" s="4"/>
      <c r="I24" s="14" t="e">
        <f t="shared" si="0"/>
        <v>#N/A</v>
      </c>
      <c r="J24" s="4"/>
      <c r="K24" s="4"/>
      <c r="L24" s="4"/>
      <c r="M24" s="4"/>
      <c r="N24" s="4"/>
      <c r="O24" s="4"/>
    </row>
    <row r="25" spans="1:15" x14ac:dyDescent="0.25">
      <c r="A25" s="4"/>
      <c r="B25" s="4"/>
      <c r="C25" s="4"/>
      <c r="D25" s="4"/>
      <c r="E25" s="4"/>
      <c r="F25" s="4"/>
      <c r="G25" s="4"/>
      <c r="H25" s="4"/>
      <c r="I25" s="14" t="e">
        <f t="shared" si="0"/>
        <v>#N/A</v>
      </c>
      <c r="J25" s="4"/>
      <c r="K25" s="4"/>
      <c r="L25" s="4"/>
      <c r="M25" s="4"/>
      <c r="N25" s="4"/>
      <c r="O25" s="4"/>
    </row>
    <row r="26" spans="1:15" x14ac:dyDescent="0.25">
      <c r="A26" s="4"/>
      <c r="B26" s="4"/>
      <c r="C26" s="4"/>
      <c r="D26" s="4"/>
      <c r="E26" s="4"/>
      <c r="F26" s="4"/>
      <c r="G26" s="4"/>
      <c r="H26" s="4"/>
      <c r="I26" s="14" t="e">
        <f t="shared" si="0"/>
        <v>#N/A</v>
      </c>
      <c r="J26" s="4"/>
      <c r="K26" s="4"/>
      <c r="L26" s="4"/>
      <c r="M26" s="4"/>
      <c r="N26" s="4"/>
      <c r="O26" s="4"/>
    </row>
    <row r="27" spans="1:15" x14ac:dyDescent="0.25">
      <c r="A27" s="4"/>
      <c r="B27" s="4"/>
      <c r="C27" s="4"/>
      <c r="D27" s="4"/>
      <c r="E27" s="4"/>
      <c r="F27" s="4"/>
      <c r="G27" s="4"/>
      <c r="H27" s="4"/>
      <c r="I27" s="14" t="e">
        <f t="shared" si="0"/>
        <v>#N/A</v>
      </c>
      <c r="J27" s="4"/>
      <c r="K27" s="4"/>
      <c r="L27" s="4"/>
      <c r="M27" s="4"/>
      <c r="N27" s="4"/>
      <c r="O27" s="4"/>
    </row>
    <row r="28" spans="1:15" x14ac:dyDescent="0.25">
      <c r="A28" s="4"/>
      <c r="B28" s="4"/>
      <c r="C28" s="4"/>
      <c r="D28" s="4"/>
      <c r="E28" s="4"/>
      <c r="F28" s="4"/>
      <c r="G28" s="4"/>
      <c r="H28" s="4"/>
      <c r="I28" s="14" t="e">
        <f t="shared" si="0"/>
        <v>#N/A</v>
      </c>
      <c r="J28" s="4"/>
      <c r="K28" s="4"/>
      <c r="L28" s="4"/>
      <c r="M28" s="4"/>
      <c r="N28" s="4"/>
      <c r="O28" s="4"/>
    </row>
    <row r="29" spans="1:15" ht="21" x14ac:dyDescent="0.25">
      <c r="A29" s="23" t="s">
        <v>15</v>
      </c>
      <c r="B29" s="23"/>
      <c r="C29" s="23"/>
      <c r="D29" s="23"/>
      <c r="E29" s="23"/>
      <c r="F29" s="23"/>
      <c r="G29" s="23"/>
    </row>
  </sheetData>
  <sheetProtection algorithmName="SHA-512" hashValue="JtmhuZXabOVk1K3G7myz8Bh+bzXmlIXPr6xCGN7epc/xu0cwrbjWgHpbCkUGlwh7Xwz250fpVGA5y7UInSmHMA==" saltValue="awMvXS8QB8+BNFouBwwJ9Q==" spinCount="100000" sheet="1" objects="1" scenarios="1"/>
  <dataConsolidate/>
  <mergeCells count="1">
    <mergeCell ref="A29:G29"/>
  </mergeCells>
  <conditionalFormatting sqref="I1:I1048576">
    <cfRule type="expression" dxfId="3" priority="1">
      <formula>AND($I1="ALLOWED", $C1="Extranet", $F1="Internet")</formula>
    </cfRule>
    <cfRule type="expression" dxfId="2" priority="4">
      <formula>AND($I1="ALLOWED", $C1=$F1)</formula>
    </cfRule>
  </conditionalFormatting>
  <conditionalFormatting sqref="I2:I28">
    <cfRule type="cellIs" dxfId="1" priority="6" operator="equal">
      <formula>"NOT ALLOWED"</formula>
    </cfRule>
    <cfRule type="cellIs" dxfId="0" priority="7" operator="equal">
      <formula>"ALLOWED"</formula>
    </cfRule>
  </conditionalFormatting>
  <pageMargins left="0.511811024" right="0.511811024" top="0.78740157499999996" bottom="0.78740157499999996" header="0.31496062000000002" footer="0.31496062000000002"/>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000-000000000000}">
          <x14:formula1>
            <xm:f>Info!$A$1:$A$5</xm:f>
          </x14:formula1>
          <xm:sqref>B2:B28</xm:sqref>
        </x14:dataValidation>
        <x14:dataValidation type="list" allowBlank="1" showInputMessage="1" showErrorMessage="1" xr:uid="{00000000-0002-0000-0000-000002000000}">
          <x14:formula1>
            <xm:f>Info!$A$17:$A$21</xm:f>
          </x14:formula1>
          <xm:sqref>N2:N28</xm:sqref>
        </x14:dataValidation>
        <x14:dataValidation type="list" allowBlank="1" showInputMessage="1" showErrorMessage="1" xr:uid="{00000000-0002-0000-0000-000005000000}">
          <x14:formula1>
            <xm:f>Info!$A$26:$A$28</xm:f>
          </x14:formula1>
          <xm:sqref>K2:K28</xm:sqref>
        </x14:dataValidation>
        <x14:dataValidation type="list" allowBlank="1" showInputMessage="1" showErrorMessage="1" xr:uid="{00000000-0002-0000-0000-000007000000}">
          <x14:formula1>
            <xm:f>Info!$A$54:$A$67</xm:f>
          </x14:formula1>
          <xm:sqref>H2:H28 E2:E28</xm:sqref>
        </x14:dataValidation>
        <x14:dataValidation type="list" allowBlank="1" showInputMessage="1" showErrorMessage="1" xr:uid="{D92B6444-ACB5-4707-9B0A-25312BB34B90}">
          <x14:formula1>
            <xm:f>Info!$A$8:$A$10</xm:f>
          </x14:formula1>
          <xm:sqref>J2:J28</xm:sqref>
        </x14:dataValidation>
        <x14:dataValidation type="list" allowBlank="1" showInputMessage="1" showErrorMessage="1" xr:uid="{00000000-0002-0000-0000-000004000000}">
          <x14:formula1>
            <xm:f>Info!$A$30:$A$46</xm:f>
          </x14:formula1>
          <xm:sqref>F2:F28 C2:C28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T25"/>
  <sheetViews>
    <sheetView showGridLines="0" zoomScaleNormal="80" workbookViewId="0">
      <pane xSplit="2" ySplit="2" topLeftCell="C3" activePane="bottomRight" state="frozen"/>
      <selection pane="topRight" activeCell="C1" sqref="C1"/>
      <selection pane="bottomLeft" activeCell="A3" sqref="A3"/>
      <selection pane="bottomRight" activeCell="F13" sqref="F13"/>
    </sheetView>
  </sheetViews>
  <sheetFormatPr defaultRowHeight="15" x14ac:dyDescent="0.25"/>
  <cols>
    <col min="1" max="1" width="10.85546875" customWidth="1"/>
    <col min="2" max="2" width="30.85546875" bestFit="1" customWidth="1"/>
    <col min="3" max="3" width="8.5703125" bestFit="1" customWidth="1"/>
    <col min="4" max="4" width="12.85546875" bestFit="1" customWidth="1"/>
    <col min="5" max="5" width="9" bestFit="1" customWidth="1"/>
    <col min="6" max="6" width="13.140625" bestFit="1" customWidth="1"/>
    <col min="7" max="7" width="11.140625" customWidth="1"/>
    <col min="8" max="8" width="9.85546875" customWidth="1"/>
    <col min="9" max="9" width="15.28515625" customWidth="1"/>
    <col min="10" max="10" width="8.28515625" bestFit="1" customWidth="1"/>
    <col min="11" max="11" width="9.42578125" customWidth="1"/>
    <col min="12" max="12" width="9.28515625" bestFit="1" customWidth="1"/>
    <col min="13" max="13" width="9.28515625" customWidth="1"/>
    <col min="14" max="14" width="12.85546875" customWidth="1"/>
    <col min="15" max="15" width="10.42578125" bestFit="1" customWidth="1"/>
    <col min="16" max="17" width="13.5703125" bestFit="1" customWidth="1"/>
    <col min="18" max="18" width="10.42578125" bestFit="1" customWidth="1"/>
    <col min="19" max="19" width="26.28515625" hidden="1" customWidth="1"/>
    <col min="20" max="20" width="11.7109375" bestFit="1" customWidth="1"/>
  </cols>
  <sheetData>
    <row r="1" spans="1:20" ht="17.25" x14ac:dyDescent="0.3">
      <c r="A1" s="6"/>
      <c r="B1" s="24" t="s">
        <v>16</v>
      </c>
      <c r="C1" s="24"/>
      <c r="D1" s="24"/>
      <c r="E1" s="24"/>
      <c r="F1" s="24"/>
      <c r="G1" s="24"/>
      <c r="H1" s="24"/>
      <c r="I1" s="24"/>
      <c r="J1" s="24"/>
      <c r="K1" s="24"/>
      <c r="L1" s="24"/>
      <c r="M1" s="24"/>
      <c r="N1" s="24"/>
      <c r="O1" s="24"/>
      <c r="P1" s="24"/>
      <c r="Q1" s="24"/>
      <c r="R1" s="24"/>
      <c r="S1" s="24"/>
      <c r="T1" s="24"/>
    </row>
    <row r="2" spans="1:20" ht="15" customHeight="1" x14ac:dyDescent="0.25">
      <c r="A2" s="25" t="s">
        <v>17</v>
      </c>
      <c r="B2" s="7" t="s">
        <v>18</v>
      </c>
      <c r="C2" s="1" t="s">
        <v>19</v>
      </c>
      <c r="D2" s="1" t="s">
        <v>20</v>
      </c>
      <c r="E2" s="1" t="s">
        <v>21</v>
      </c>
      <c r="F2" s="1" t="s">
        <v>22</v>
      </c>
      <c r="G2" s="1" t="s">
        <v>23</v>
      </c>
      <c r="H2" s="1" t="s">
        <v>24</v>
      </c>
      <c r="I2" s="1" t="s">
        <v>25</v>
      </c>
      <c r="J2" s="1" t="s">
        <v>26</v>
      </c>
      <c r="K2" s="1" t="s">
        <v>27</v>
      </c>
      <c r="L2" s="1" t="s">
        <v>28</v>
      </c>
      <c r="M2" s="1" t="s">
        <v>29</v>
      </c>
      <c r="N2" s="1" t="s">
        <v>30</v>
      </c>
      <c r="O2" s="1" t="s">
        <v>31</v>
      </c>
      <c r="P2" s="1" t="s">
        <v>32</v>
      </c>
      <c r="Q2" s="1" t="s">
        <v>33</v>
      </c>
      <c r="R2" s="1" t="s">
        <v>34</v>
      </c>
      <c r="S2" s="1" t="s">
        <v>35</v>
      </c>
      <c r="T2" s="1" t="s">
        <v>36</v>
      </c>
    </row>
    <row r="3" spans="1:20" ht="15" customHeight="1" x14ac:dyDescent="0.25">
      <c r="A3" s="26"/>
      <c r="B3" s="1" t="s">
        <v>19</v>
      </c>
      <c r="C3" s="8" t="s">
        <v>37</v>
      </c>
      <c r="D3" s="6" t="s">
        <v>38</v>
      </c>
      <c r="E3" s="6" t="s">
        <v>38</v>
      </c>
      <c r="F3" s="6" t="s">
        <v>37</v>
      </c>
      <c r="G3" s="6" t="s">
        <v>37</v>
      </c>
      <c r="H3" s="6" t="s">
        <v>38</v>
      </c>
      <c r="I3" s="6" t="s">
        <v>38</v>
      </c>
      <c r="J3" s="6" t="s">
        <v>38</v>
      </c>
      <c r="K3" s="6" t="s">
        <v>38</v>
      </c>
      <c r="L3" s="6" t="s">
        <v>38</v>
      </c>
      <c r="M3" s="6" t="s">
        <v>38</v>
      </c>
      <c r="N3" s="6" t="s">
        <v>38</v>
      </c>
      <c r="O3" s="6" t="s">
        <v>38</v>
      </c>
      <c r="P3" s="6" t="s">
        <v>38</v>
      </c>
      <c r="Q3" s="6" t="s">
        <v>38</v>
      </c>
      <c r="R3" s="6" t="s">
        <v>38</v>
      </c>
      <c r="S3" s="6" t="s">
        <v>38</v>
      </c>
      <c r="T3" s="6" t="s">
        <v>38</v>
      </c>
    </row>
    <row r="4" spans="1:20" ht="15" customHeight="1" x14ac:dyDescent="0.25">
      <c r="A4" s="26"/>
      <c r="B4" s="1" t="s">
        <v>20</v>
      </c>
      <c r="C4" s="6" t="s">
        <v>38</v>
      </c>
      <c r="D4" s="8" t="s">
        <v>37</v>
      </c>
      <c r="E4" s="6" t="s">
        <v>37</v>
      </c>
      <c r="F4" s="6" t="s">
        <v>38</v>
      </c>
      <c r="G4" s="6" t="s">
        <v>38</v>
      </c>
      <c r="H4" s="6" t="s">
        <v>38</v>
      </c>
      <c r="I4" s="6" t="s">
        <v>38</v>
      </c>
      <c r="J4" s="6" t="s">
        <v>38</v>
      </c>
      <c r="K4" s="6" t="s">
        <v>38</v>
      </c>
      <c r="L4" s="6" t="s">
        <v>38</v>
      </c>
      <c r="M4" s="6" t="s">
        <v>38</v>
      </c>
      <c r="N4" s="6" t="s">
        <v>38</v>
      </c>
      <c r="O4" s="6" t="s">
        <v>38</v>
      </c>
      <c r="P4" s="6" t="s">
        <v>38</v>
      </c>
      <c r="Q4" s="6" t="s">
        <v>38</v>
      </c>
      <c r="R4" s="6" t="s">
        <v>38</v>
      </c>
      <c r="S4" s="6" t="s">
        <v>38</v>
      </c>
      <c r="T4" s="6" t="s">
        <v>38</v>
      </c>
    </row>
    <row r="5" spans="1:20" ht="15" customHeight="1" x14ac:dyDescent="0.25">
      <c r="A5" s="26"/>
      <c r="B5" s="1" t="s">
        <v>21</v>
      </c>
      <c r="C5" s="22" t="s">
        <v>37</v>
      </c>
      <c r="D5" s="6" t="s">
        <v>37</v>
      </c>
      <c r="E5" s="8" t="s">
        <v>37</v>
      </c>
      <c r="F5" s="6" t="s">
        <v>38</v>
      </c>
      <c r="G5" s="6" t="s">
        <v>38</v>
      </c>
      <c r="H5" s="6" t="s">
        <v>38</v>
      </c>
      <c r="I5" s="6" t="s">
        <v>37</v>
      </c>
      <c r="J5" s="6" t="s">
        <v>38</v>
      </c>
      <c r="K5" s="6" t="s">
        <v>37</v>
      </c>
      <c r="L5" s="6" t="s">
        <v>38</v>
      </c>
      <c r="M5" s="6" t="s">
        <v>38</v>
      </c>
      <c r="N5" s="6" t="s">
        <v>38</v>
      </c>
      <c r="O5" s="6" t="s">
        <v>38</v>
      </c>
      <c r="P5" s="6" t="s">
        <v>38</v>
      </c>
      <c r="Q5" s="6" t="s">
        <v>38</v>
      </c>
      <c r="R5" s="6" t="s">
        <v>38</v>
      </c>
      <c r="S5" s="6" t="s">
        <v>38</v>
      </c>
      <c r="T5" s="6" t="s">
        <v>38</v>
      </c>
    </row>
    <row r="6" spans="1:20" ht="15" customHeight="1" x14ac:dyDescent="0.25">
      <c r="A6" s="26"/>
      <c r="B6" s="1" t="s">
        <v>22</v>
      </c>
      <c r="C6" s="6" t="s">
        <v>37</v>
      </c>
      <c r="D6" s="6" t="s">
        <v>38</v>
      </c>
      <c r="E6" s="6" t="s">
        <v>38</v>
      </c>
      <c r="F6" s="8" t="s">
        <v>37</v>
      </c>
      <c r="G6" s="6" t="s">
        <v>38</v>
      </c>
      <c r="H6" s="6" t="s">
        <v>38</v>
      </c>
      <c r="I6" s="6" t="s">
        <v>37</v>
      </c>
      <c r="J6" s="6" t="s">
        <v>38</v>
      </c>
      <c r="K6" s="6" t="s">
        <v>38</v>
      </c>
      <c r="L6" s="6" t="s">
        <v>38</v>
      </c>
      <c r="M6" s="6" t="s">
        <v>38</v>
      </c>
      <c r="N6" s="6" t="s">
        <v>38</v>
      </c>
      <c r="O6" s="6" t="s">
        <v>38</v>
      </c>
      <c r="P6" s="6" t="s">
        <v>38</v>
      </c>
      <c r="Q6" s="6" t="s">
        <v>38</v>
      </c>
      <c r="R6" s="6" t="s">
        <v>38</v>
      </c>
      <c r="S6" s="6" t="s">
        <v>38</v>
      </c>
      <c r="T6" s="6" t="s">
        <v>38</v>
      </c>
    </row>
    <row r="7" spans="1:20" ht="15" customHeight="1" x14ac:dyDescent="0.25">
      <c r="A7" s="26"/>
      <c r="B7" s="1" t="s">
        <v>23</v>
      </c>
      <c r="C7" s="6" t="s">
        <v>37</v>
      </c>
      <c r="D7" s="6" t="s">
        <v>38</v>
      </c>
      <c r="E7" s="6" t="s">
        <v>38</v>
      </c>
      <c r="F7" s="6" t="s">
        <v>38</v>
      </c>
      <c r="G7" s="8" t="s">
        <v>37</v>
      </c>
      <c r="H7" s="6" t="s">
        <v>38</v>
      </c>
      <c r="I7" s="6" t="s">
        <v>38</v>
      </c>
      <c r="J7" s="6" t="s">
        <v>38</v>
      </c>
      <c r="K7" s="6" t="s">
        <v>38</v>
      </c>
      <c r="L7" s="6" t="s">
        <v>38</v>
      </c>
      <c r="M7" s="6" t="s">
        <v>38</v>
      </c>
      <c r="N7" s="6" t="s">
        <v>38</v>
      </c>
      <c r="O7" s="6" t="s">
        <v>38</v>
      </c>
      <c r="P7" s="6" t="s">
        <v>38</v>
      </c>
      <c r="Q7" s="6" t="s">
        <v>38</v>
      </c>
      <c r="R7" s="6" t="s">
        <v>38</v>
      </c>
      <c r="S7" s="6" t="s">
        <v>38</v>
      </c>
      <c r="T7" s="6" t="s">
        <v>38</v>
      </c>
    </row>
    <row r="8" spans="1:20" ht="15" customHeight="1" x14ac:dyDescent="0.25">
      <c r="A8" s="26"/>
      <c r="B8" s="1" t="s">
        <v>24</v>
      </c>
      <c r="C8" s="6" t="s">
        <v>37</v>
      </c>
      <c r="D8" s="6" t="s">
        <v>38</v>
      </c>
      <c r="E8" s="6" t="s">
        <v>38</v>
      </c>
      <c r="F8" s="6" t="s">
        <v>38</v>
      </c>
      <c r="G8" s="6" t="s">
        <v>38</v>
      </c>
      <c r="H8" s="8" t="s">
        <v>37</v>
      </c>
      <c r="I8" s="6" t="s">
        <v>38</v>
      </c>
      <c r="J8" s="6" t="s">
        <v>38</v>
      </c>
      <c r="K8" s="6" t="s">
        <v>38</v>
      </c>
      <c r="L8" s="6" t="s">
        <v>37</v>
      </c>
      <c r="M8" s="6" t="s">
        <v>38</v>
      </c>
      <c r="N8" s="6" t="s">
        <v>37</v>
      </c>
      <c r="O8" s="6" t="s">
        <v>38</v>
      </c>
      <c r="P8" s="6" t="s">
        <v>38</v>
      </c>
      <c r="Q8" s="6" t="s">
        <v>38</v>
      </c>
      <c r="R8" s="6" t="s">
        <v>38</v>
      </c>
      <c r="S8" s="6" t="s">
        <v>38</v>
      </c>
      <c r="T8" s="6" t="s">
        <v>38</v>
      </c>
    </row>
    <row r="9" spans="1:20" ht="15" customHeight="1" x14ac:dyDescent="0.25">
      <c r="A9" s="26"/>
      <c r="B9" s="1" t="s">
        <v>25</v>
      </c>
      <c r="C9" s="6" t="s">
        <v>37</v>
      </c>
      <c r="D9" s="6" t="s">
        <v>38</v>
      </c>
      <c r="E9" s="6" t="s">
        <v>37</v>
      </c>
      <c r="F9" s="6" t="s">
        <v>37</v>
      </c>
      <c r="G9" s="6" t="s">
        <v>38</v>
      </c>
      <c r="H9" s="6" t="s">
        <v>38</v>
      </c>
      <c r="I9" s="8" t="s">
        <v>37</v>
      </c>
      <c r="J9" s="6" t="s">
        <v>37</v>
      </c>
      <c r="K9" s="6" t="s">
        <v>37</v>
      </c>
      <c r="L9" s="6" t="s">
        <v>37</v>
      </c>
      <c r="M9" s="6" t="s">
        <v>38</v>
      </c>
      <c r="N9" s="6" t="s">
        <v>37</v>
      </c>
      <c r="O9" s="6" t="s">
        <v>38</v>
      </c>
      <c r="P9" s="6" t="s">
        <v>38</v>
      </c>
      <c r="Q9" s="6" t="s">
        <v>38</v>
      </c>
      <c r="R9" s="6" t="s">
        <v>38</v>
      </c>
      <c r="S9" s="6" t="s">
        <v>38</v>
      </c>
      <c r="T9" s="6" t="s">
        <v>38</v>
      </c>
    </row>
    <row r="10" spans="1:20" ht="15" customHeight="1" x14ac:dyDescent="0.25">
      <c r="A10" s="26"/>
      <c r="B10" s="1" t="s">
        <v>26</v>
      </c>
      <c r="C10" s="6" t="s">
        <v>37</v>
      </c>
      <c r="D10" s="6" t="s">
        <v>37</v>
      </c>
      <c r="E10" s="6" t="s">
        <v>38</v>
      </c>
      <c r="F10" s="6" t="s">
        <v>38</v>
      </c>
      <c r="G10" s="6" t="s">
        <v>38</v>
      </c>
      <c r="H10" s="6" t="s">
        <v>38</v>
      </c>
      <c r="I10" s="6" t="s">
        <v>37</v>
      </c>
      <c r="J10" s="8" t="s">
        <v>37</v>
      </c>
      <c r="K10" s="6" t="s">
        <v>37</v>
      </c>
      <c r="L10" s="6" t="s">
        <v>37</v>
      </c>
      <c r="M10" s="6" t="s">
        <v>38</v>
      </c>
      <c r="N10" s="6" t="s">
        <v>37</v>
      </c>
      <c r="O10" s="6" t="s">
        <v>38</v>
      </c>
      <c r="P10" s="6" t="s">
        <v>38</v>
      </c>
      <c r="Q10" s="6" t="s">
        <v>38</v>
      </c>
      <c r="R10" s="6" t="s">
        <v>38</v>
      </c>
      <c r="S10" s="6" t="s">
        <v>38</v>
      </c>
      <c r="T10" s="6" t="s">
        <v>37</v>
      </c>
    </row>
    <row r="11" spans="1:20" ht="15" customHeight="1" x14ac:dyDescent="0.25">
      <c r="A11" s="26"/>
      <c r="B11" s="1" t="s">
        <v>27</v>
      </c>
      <c r="C11" s="6" t="s">
        <v>37</v>
      </c>
      <c r="D11" s="6" t="s">
        <v>38</v>
      </c>
      <c r="E11" s="6" t="s">
        <v>37</v>
      </c>
      <c r="F11" s="6" t="s">
        <v>38</v>
      </c>
      <c r="G11" s="6" t="s">
        <v>38</v>
      </c>
      <c r="H11" s="6" t="s">
        <v>38</v>
      </c>
      <c r="I11" s="6" t="s">
        <v>37</v>
      </c>
      <c r="J11" s="6" t="s">
        <v>37</v>
      </c>
      <c r="K11" s="8" t="s">
        <v>37</v>
      </c>
      <c r="L11" s="6" t="s">
        <v>37</v>
      </c>
      <c r="M11" s="6" t="s">
        <v>38</v>
      </c>
      <c r="N11" s="6" t="s">
        <v>37</v>
      </c>
      <c r="O11" s="6" t="s">
        <v>38</v>
      </c>
      <c r="P11" s="6" t="s">
        <v>38</v>
      </c>
      <c r="Q11" s="6" t="s">
        <v>38</v>
      </c>
      <c r="R11" s="6" t="s">
        <v>38</v>
      </c>
      <c r="S11" s="6" t="s">
        <v>38</v>
      </c>
      <c r="T11" s="6" t="s">
        <v>38</v>
      </c>
    </row>
    <row r="12" spans="1:20" ht="15" customHeight="1" x14ac:dyDescent="0.25">
      <c r="A12" s="26"/>
      <c r="B12" s="1" t="s">
        <v>28</v>
      </c>
      <c r="C12" s="6" t="s">
        <v>37</v>
      </c>
      <c r="D12" s="6" t="s">
        <v>38</v>
      </c>
      <c r="E12" s="6" t="s">
        <v>38</v>
      </c>
      <c r="F12" s="6" t="s">
        <v>38</v>
      </c>
      <c r="G12" s="6" t="s">
        <v>38</v>
      </c>
      <c r="H12" s="6" t="s">
        <v>37</v>
      </c>
      <c r="I12" s="6" t="s">
        <v>37</v>
      </c>
      <c r="J12" s="6" t="s">
        <v>37</v>
      </c>
      <c r="K12" s="6" t="s">
        <v>37</v>
      </c>
      <c r="L12" s="8" t="s">
        <v>37</v>
      </c>
      <c r="M12" s="6" t="s">
        <v>37</v>
      </c>
      <c r="N12" s="6" t="s">
        <v>37</v>
      </c>
      <c r="O12" s="6" t="s">
        <v>37</v>
      </c>
      <c r="P12" s="6" t="s">
        <v>38</v>
      </c>
      <c r="Q12" s="6" t="s">
        <v>38</v>
      </c>
      <c r="R12" s="6" t="s">
        <v>38</v>
      </c>
      <c r="S12" s="6" t="s">
        <v>38</v>
      </c>
      <c r="T12" s="6" t="s">
        <v>38</v>
      </c>
    </row>
    <row r="13" spans="1:20" ht="15" customHeight="1" x14ac:dyDescent="0.25">
      <c r="A13" s="26"/>
      <c r="B13" s="1" t="s">
        <v>29</v>
      </c>
      <c r="C13" s="6" t="s">
        <v>38</v>
      </c>
      <c r="D13" s="6" t="s">
        <v>38</v>
      </c>
      <c r="E13" s="6" t="s">
        <v>38</v>
      </c>
      <c r="F13" s="6" t="s">
        <v>38</v>
      </c>
      <c r="G13" s="6" t="s">
        <v>38</v>
      </c>
      <c r="H13" s="6" t="s">
        <v>38</v>
      </c>
      <c r="I13" s="6" t="s">
        <v>38</v>
      </c>
      <c r="J13" s="6" t="s">
        <v>38</v>
      </c>
      <c r="K13" s="6" t="s">
        <v>38</v>
      </c>
      <c r="L13" s="6" t="s">
        <v>37</v>
      </c>
      <c r="M13" s="8" t="s">
        <v>37</v>
      </c>
      <c r="N13" s="6" t="s">
        <v>37</v>
      </c>
      <c r="O13" s="6" t="s">
        <v>37</v>
      </c>
      <c r="P13" s="6" t="s">
        <v>37</v>
      </c>
      <c r="Q13" s="6" t="s">
        <v>38</v>
      </c>
      <c r="R13" s="6" t="s">
        <v>38</v>
      </c>
      <c r="S13" s="6" t="s">
        <v>37</v>
      </c>
      <c r="T13" s="6" t="s">
        <v>38</v>
      </c>
    </row>
    <row r="14" spans="1:20" ht="15" customHeight="1" x14ac:dyDescent="0.25">
      <c r="A14" s="26"/>
      <c r="B14" s="1" t="s">
        <v>30</v>
      </c>
      <c r="C14" s="6" t="s">
        <v>37</v>
      </c>
      <c r="D14" s="6" t="s">
        <v>38</v>
      </c>
      <c r="E14" s="6" t="s">
        <v>38</v>
      </c>
      <c r="F14" s="6" t="s">
        <v>38</v>
      </c>
      <c r="G14" s="6" t="s">
        <v>38</v>
      </c>
      <c r="H14" s="6" t="s">
        <v>37</v>
      </c>
      <c r="I14" s="6" t="s">
        <v>37</v>
      </c>
      <c r="J14" s="6" t="s">
        <v>37</v>
      </c>
      <c r="K14" s="6" t="s">
        <v>37</v>
      </c>
      <c r="L14" s="6" t="s">
        <v>37</v>
      </c>
      <c r="M14" s="6" t="s">
        <v>37</v>
      </c>
      <c r="N14" s="8" t="s">
        <v>37</v>
      </c>
      <c r="O14" s="6" t="s">
        <v>37</v>
      </c>
      <c r="P14" s="6" t="s">
        <v>38</v>
      </c>
      <c r="Q14" s="6" t="s">
        <v>38</v>
      </c>
      <c r="R14" s="6" t="s">
        <v>38</v>
      </c>
      <c r="S14" s="6" t="s">
        <v>38</v>
      </c>
      <c r="T14" s="6" t="s">
        <v>38</v>
      </c>
    </row>
    <row r="15" spans="1:20" ht="15" customHeight="1" x14ac:dyDescent="0.25">
      <c r="A15" s="26"/>
      <c r="B15" s="1" t="s">
        <v>31</v>
      </c>
      <c r="C15" s="6" t="s">
        <v>38</v>
      </c>
      <c r="D15" s="6" t="s">
        <v>38</v>
      </c>
      <c r="E15" s="6" t="s">
        <v>38</v>
      </c>
      <c r="F15" s="6" t="s">
        <v>38</v>
      </c>
      <c r="G15" s="6" t="s">
        <v>38</v>
      </c>
      <c r="H15" s="6" t="s">
        <v>38</v>
      </c>
      <c r="I15" s="6" t="s">
        <v>38</v>
      </c>
      <c r="J15" s="6" t="s">
        <v>38</v>
      </c>
      <c r="K15" s="6" t="s">
        <v>38</v>
      </c>
      <c r="L15" s="6" t="s">
        <v>37</v>
      </c>
      <c r="M15" s="6" t="s">
        <v>37</v>
      </c>
      <c r="N15" s="6" t="s">
        <v>37</v>
      </c>
      <c r="O15" s="8" t="s">
        <v>37</v>
      </c>
      <c r="P15" s="6" t="s">
        <v>37</v>
      </c>
      <c r="Q15" s="6" t="s">
        <v>38</v>
      </c>
      <c r="R15" s="6" t="s">
        <v>38</v>
      </c>
      <c r="S15" s="6" t="s">
        <v>37</v>
      </c>
      <c r="T15" s="6" t="s">
        <v>37</v>
      </c>
    </row>
    <row r="16" spans="1:20" ht="15" customHeight="1" x14ac:dyDescent="0.25">
      <c r="A16" s="26"/>
      <c r="B16" s="1" t="s">
        <v>32</v>
      </c>
      <c r="C16" s="6" t="s">
        <v>38</v>
      </c>
      <c r="D16" s="6" t="s">
        <v>38</v>
      </c>
      <c r="E16" s="6" t="s">
        <v>38</v>
      </c>
      <c r="F16" s="6" t="s">
        <v>38</v>
      </c>
      <c r="G16" s="6" t="s">
        <v>38</v>
      </c>
      <c r="H16" s="6" t="s">
        <v>38</v>
      </c>
      <c r="I16" s="6" t="s">
        <v>38</v>
      </c>
      <c r="J16" s="6" t="s">
        <v>38</v>
      </c>
      <c r="K16" s="6" t="s">
        <v>38</v>
      </c>
      <c r="L16" s="6" t="s">
        <v>38</v>
      </c>
      <c r="M16" s="6" t="s">
        <v>37</v>
      </c>
      <c r="N16" s="6" t="s">
        <v>38</v>
      </c>
      <c r="O16" s="6" t="s">
        <v>37</v>
      </c>
      <c r="P16" s="8" t="s">
        <v>37</v>
      </c>
      <c r="Q16" s="6" t="s">
        <v>38</v>
      </c>
      <c r="R16" s="6" t="s">
        <v>37</v>
      </c>
      <c r="S16" s="6" t="s">
        <v>37</v>
      </c>
      <c r="T16" s="6" t="s">
        <v>38</v>
      </c>
    </row>
    <row r="17" spans="1:20" ht="15" customHeight="1" x14ac:dyDescent="0.25">
      <c r="A17" s="26"/>
      <c r="B17" s="1" t="s">
        <v>33</v>
      </c>
      <c r="C17" s="6" t="s">
        <v>38</v>
      </c>
      <c r="D17" s="6" t="s">
        <v>38</v>
      </c>
      <c r="E17" s="6" t="s">
        <v>38</v>
      </c>
      <c r="F17" s="6" t="s">
        <v>38</v>
      </c>
      <c r="G17" s="6" t="s">
        <v>38</v>
      </c>
      <c r="H17" s="6" t="s">
        <v>38</v>
      </c>
      <c r="I17" s="6" t="s">
        <v>38</v>
      </c>
      <c r="J17" s="6" t="s">
        <v>38</v>
      </c>
      <c r="K17" s="6" t="s">
        <v>38</v>
      </c>
      <c r="L17" s="6" t="s">
        <v>37</v>
      </c>
      <c r="M17" s="6" t="s">
        <v>38</v>
      </c>
      <c r="N17" s="6" t="s">
        <v>38</v>
      </c>
      <c r="O17" s="6" t="s">
        <v>38</v>
      </c>
      <c r="P17" s="6" t="s">
        <v>38</v>
      </c>
      <c r="Q17" s="8" t="s">
        <v>37</v>
      </c>
      <c r="R17" s="6" t="s">
        <v>38</v>
      </c>
      <c r="S17" s="6" t="s">
        <v>37</v>
      </c>
      <c r="T17" s="6" t="s">
        <v>38</v>
      </c>
    </row>
    <row r="18" spans="1:20" ht="15" customHeight="1" x14ac:dyDescent="0.25">
      <c r="A18" s="26"/>
      <c r="B18" s="1" t="s">
        <v>34</v>
      </c>
      <c r="C18" s="6" t="s">
        <v>38</v>
      </c>
      <c r="D18" s="6" t="s">
        <v>38</v>
      </c>
      <c r="E18" s="6" t="s">
        <v>38</v>
      </c>
      <c r="F18" s="6" t="s">
        <v>38</v>
      </c>
      <c r="G18" s="6" t="s">
        <v>38</v>
      </c>
      <c r="H18" s="6" t="s">
        <v>38</v>
      </c>
      <c r="I18" s="6" t="s">
        <v>38</v>
      </c>
      <c r="J18" s="6" t="s">
        <v>38</v>
      </c>
      <c r="K18" s="6" t="s">
        <v>38</v>
      </c>
      <c r="L18" s="6" t="s">
        <v>38</v>
      </c>
      <c r="M18" s="6" t="s">
        <v>38</v>
      </c>
      <c r="N18" s="6" t="s">
        <v>38</v>
      </c>
      <c r="O18" s="6" t="s">
        <v>38</v>
      </c>
      <c r="P18" s="6" t="s">
        <v>37</v>
      </c>
      <c r="Q18" s="6" t="s">
        <v>38</v>
      </c>
      <c r="R18" s="8" t="s">
        <v>37</v>
      </c>
      <c r="S18" s="6" t="s">
        <v>37</v>
      </c>
      <c r="T18" s="6" t="s">
        <v>38</v>
      </c>
    </row>
    <row r="19" spans="1:20" ht="15" hidden="1" customHeight="1" x14ac:dyDescent="0.25">
      <c r="A19" s="26"/>
      <c r="B19" s="1" t="s">
        <v>35</v>
      </c>
      <c r="C19" s="6" t="s">
        <v>38</v>
      </c>
      <c r="D19" s="6" t="s">
        <v>38</v>
      </c>
      <c r="E19" s="6" t="s">
        <v>38</v>
      </c>
      <c r="F19" s="6" t="s">
        <v>38</v>
      </c>
      <c r="G19" s="6" t="s">
        <v>38</v>
      </c>
      <c r="H19" s="6" t="s">
        <v>38</v>
      </c>
      <c r="I19" s="6" t="s">
        <v>38</v>
      </c>
      <c r="J19" s="6" t="s">
        <v>38</v>
      </c>
      <c r="K19" s="6" t="s">
        <v>38</v>
      </c>
      <c r="L19" s="9" t="s">
        <v>37</v>
      </c>
      <c r="M19" s="6" t="s">
        <v>37</v>
      </c>
      <c r="N19" s="9" t="s">
        <v>37</v>
      </c>
      <c r="O19" s="6" t="s">
        <v>37</v>
      </c>
      <c r="P19" s="6" t="s">
        <v>37</v>
      </c>
      <c r="Q19" s="6" t="s">
        <v>37</v>
      </c>
      <c r="R19" s="6" t="s">
        <v>37</v>
      </c>
      <c r="S19" s="8"/>
      <c r="T19" s="8"/>
    </row>
    <row r="20" spans="1:20" ht="15" customHeight="1" x14ac:dyDescent="0.25">
      <c r="A20" s="26"/>
      <c r="B20" s="1" t="s">
        <v>36</v>
      </c>
      <c r="C20" s="6" t="s">
        <v>38</v>
      </c>
      <c r="D20" s="6" t="s">
        <v>38</v>
      </c>
      <c r="E20" s="6" t="s">
        <v>38</v>
      </c>
      <c r="F20" s="6" t="s">
        <v>38</v>
      </c>
      <c r="G20" s="6" t="s">
        <v>38</v>
      </c>
      <c r="H20" s="6" t="s">
        <v>38</v>
      </c>
      <c r="I20" s="6" t="s">
        <v>38</v>
      </c>
      <c r="J20" s="6" t="s">
        <v>37</v>
      </c>
      <c r="K20" s="6" t="s">
        <v>38</v>
      </c>
      <c r="L20" s="6" t="s">
        <v>38</v>
      </c>
      <c r="M20" s="6" t="s">
        <v>38</v>
      </c>
      <c r="N20" s="6" t="s">
        <v>38</v>
      </c>
      <c r="O20" s="6" t="s">
        <v>38</v>
      </c>
      <c r="P20" s="6" t="s">
        <v>38</v>
      </c>
      <c r="Q20" s="6" t="s">
        <v>38</v>
      </c>
      <c r="R20" s="6" t="s">
        <v>38</v>
      </c>
      <c r="S20" s="8"/>
      <c r="T20" s="8" t="s">
        <v>37</v>
      </c>
    </row>
    <row r="21" spans="1:20" ht="17.25" x14ac:dyDescent="0.25">
      <c r="A21" s="10"/>
      <c r="B21" s="11"/>
    </row>
    <row r="22" spans="1:20" x14ac:dyDescent="0.25">
      <c r="A22" t="s">
        <v>39</v>
      </c>
    </row>
    <row r="23" spans="1:20" x14ac:dyDescent="0.25">
      <c r="A23" s="20" t="s">
        <v>40</v>
      </c>
      <c r="B23" s="20"/>
      <c r="C23" s="20"/>
      <c r="D23" s="20"/>
      <c r="E23" s="20"/>
    </row>
    <row r="24" spans="1:20" x14ac:dyDescent="0.25">
      <c r="A24" s="12" t="s">
        <v>41</v>
      </c>
    </row>
    <row r="25" spans="1:20" x14ac:dyDescent="0.25">
      <c r="A25" s="21" t="s">
        <v>42</v>
      </c>
      <c r="B25" t="s">
        <v>43</v>
      </c>
    </row>
  </sheetData>
  <sheetProtection algorithmName="SHA-512" hashValue="yJx9IFUDKeyCZ+dHpABJzx9MT5lmss5UaOqfhszPAcpwTTMkapgLR1MhgTooFbBceOVWDs5E/w7uaOpRfGWlvw==" saltValue="tOp9bj1l8yrmVQxzgXa7mw==" spinCount="100000" sheet="1" objects="1" scenarios="1"/>
  <mergeCells count="2">
    <mergeCell ref="B1:T1"/>
    <mergeCell ref="A2:A20"/>
  </mergeCells>
  <hyperlinks>
    <hyperlink ref="A24" r:id="rId1" xr:uid="{129270FB-A31A-48F7-A263-5B0177760BA9}"/>
  </hyperlinks>
  <pageMargins left="0.511811024" right="0.511811024" top="0.78740157499999996" bottom="0.78740157499999996" header="0.31496062000000002" footer="0.31496062000000002"/>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D7"/>
  <sheetViews>
    <sheetView showGridLines="0" zoomScale="71" zoomScaleNormal="71" workbookViewId="0">
      <selection activeCell="C4" sqref="C4"/>
    </sheetView>
  </sheetViews>
  <sheetFormatPr defaultColWidth="143.42578125" defaultRowHeight="15" x14ac:dyDescent="0.25"/>
  <cols>
    <col min="1" max="1" width="50.42578125" style="16" bestFit="1" customWidth="1"/>
    <col min="2" max="2" width="39" style="16" bestFit="1" customWidth="1"/>
    <col min="3" max="3" width="29.85546875" style="16" bestFit="1" customWidth="1"/>
    <col min="4" max="4" width="36.42578125" style="16" bestFit="1" customWidth="1"/>
    <col min="5" max="16384" width="143.42578125" style="16"/>
  </cols>
  <sheetData>
    <row r="1" spans="1:4" ht="18.75" x14ac:dyDescent="0.3">
      <c r="A1" s="15" t="s">
        <v>44</v>
      </c>
      <c r="B1" s="15" t="s">
        <v>45</v>
      </c>
      <c r="C1" s="15" t="s">
        <v>46</v>
      </c>
      <c r="D1" s="15" t="s">
        <v>47</v>
      </c>
    </row>
    <row r="2" spans="1:4" ht="195" x14ac:dyDescent="0.25">
      <c r="A2" s="17" t="s">
        <v>48</v>
      </c>
      <c r="B2" s="18" t="s">
        <v>49</v>
      </c>
      <c r="C2" s="18" t="s">
        <v>50</v>
      </c>
      <c r="D2" s="18" t="s">
        <v>51</v>
      </c>
    </row>
    <row r="3" spans="1:4" ht="120" x14ac:dyDescent="0.25">
      <c r="A3" s="17" t="s">
        <v>52</v>
      </c>
      <c r="B3" s="18" t="s">
        <v>53</v>
      </c>
      <c r="C3" s="18" t="s">
        <v>54</v>
      </c>
      <c r="D3" s="18" t="s">
        <v>55</v>
      </c>
    </row>
    <row r="4" spans="1:4" ht="90" x14ac:dyDescent="0.25">
      <c r="A4" s="17" t="s">
        <v>56</v>
      </c>
      <c r="B4" s="18" t="s">
        <v>57</v>
      </c>
      <c r="C4" s="18" t="s">
        <v>58</v>
      </c>
      <c r="D4" s="18" t="s">
        <v>59</v>
      </c>
    </row>
    <row r="5" spans="1:4" ht="105" x14ac:dyDescent="0.25">
      <c r="A5" s="17" t="s">
        <v>60</v>
      </c>
      <c r="B5" s="18" t="s">
        <v>61</v>
      </c>
      <c r="C5" s="18" t="s">
        <v>62</v>
      </c>
      <c r="D5" s="18" t="s">
        <v>63</v>
      </c>
    </row>
    <row r="7" spans="1:4" x14ac:dyDescent="0.25">
      <c r="A7" s="19" t="s">
        <v>64</v>
      </c>
    </row>
  </sheetData>
  <sheetProtection algorithmName="SHA-512" hashValue="NRqyGW5idvfssn5dsrGSevkXOaCSV1Oez1lNl+dU295g1NNbBnObd2B6AdkGIeh6ed2bfLocIlpqoOu2a8qS4A==" saltValue="9dstsL9hfFSpIbudKYRw6Q==" spinCount="100000" sheet="1" objects="1" scenarios="1"/>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B67"/>
  <sheetViews>
    <sheetView topLeftCell="A23" workbookViewId="0">
      <selection activeCell="B39" sqref="B39"/>
    </sheetView>
  </sheetViews>
  <sheetFormatPr defaultRowHeight="15" x14ac:dyDescent="0.25"/>
  <cols>
    <col min="1" max="1" width="30.85546875" bestFit="1" customWidth="1"/>
    <col min="2" max="2" width="103.140625" bestFit="1" customWidth="1"/>
  </cols>
  <sheetData>
    <row r="1" spans="1:2" x14ac:dyDescent="0.25">
      <c r="A1" t="s">
        <v>65</v>
      </c>
    </row>
    <row r="2" spans="1:2" x14ac:dyDescent="0.25">
      <c r="A2" t="s">
        <v>66</v>
      </c>
    </row>
    <row r="3" spans="1:2" x14ac:dyDescent="0.25">
      <c r="A3" t="s">
        <v>67</v>
      </c>
    </row>
    <row r="4" spans="1:2" x14ac:dyDescent="0.25">
      <c r="A4" t="s">
        <v>68</v>
      </c>
    </row>
    <row r="5" spans="1:2" x14ac:dyDescent="0.25">
      <c r="A5" t="s">
        <v>69</v>
      </c>
    </row>
    <row r="8" spans="1:2" x14ac:dyDescent="0.25">
      <c r="A8" t="s">
        <v>70</v>
      </c>
      <c r="B8" s="27" t="s">
        <v>71</v>
      </c>
    </row>
    <row r="9" spans="1:2" x14ac:dyDescent="0.25">
      <c r="A9" t="s">
        <v>72</v>
      </c>
      <c r="B9" s="27"/>
    </row>
    <row r="10" spans="1:2" x14ac:dyDescent="0.25">
      <c r="A10" t="s">
        <v>73</v>
      </c>
      <c r="B10" s="27"/>
    </row>
    <row r="12" spans="1:2" x14ac:dyDescent="0.25">
      <c r="A12" t="s">
        <v>74</v>
      </c>
      <c r="B12" t="s">
        <v>75</v>
      </c>
    </row>
    <row r="13" spans="1:2" x14ac:dyDescent="0.25">
      <c r="A13" t="s">
        <v>76</v>
      </c>
      <c r="B13" t="s">
        <v>77</v>
      </c>
    </row>
    <row r="17" spans="1:1" x14ac:dyDescent="0.25">
      <c r="A17" t="s">
        <v>48</v>
      </c>
    </row>
    <row r="18" spans="1:1" x14ac:dyDescent="0.25">
      <c r="A18" t="s">
        <v>52</v>
      </c>
    </row>
    <row r="19" spans="1:1" x14ac:dyDescent="0.25">
      <c r="A19" t="s">
        <v>56</v>
      </c>
    </row>
    <row r="20" spans="1:1" x14ac:dyDescent="0.25">
      <c r="A20" t="s">
        <v>60</v>
      </c>
    </row>
    <row r="21" spans="1:1" x14ac:dyDescent="0.25">
      <c r="A21" t="s">
        <v>78</v>
      </c>
    </row>
    <row r="23" spans="1:1" x14ac:dyDescent="0.25">
      <c r="A23" t="s">
        <v>79</v>
      </c>
    </row>
    <row r="24" spans="1:1" x14ac:dyDescent="0.25">
      <c r="A24" t="s">
        <v>80</v>
      </c>
    </row>
    <row r="26" spans="1:1" x14ac:dyDescent="0.25">
      <c r="A26" t="s">
        <v>81</v>
      </c>
    </row>
    <row r="27" spans="1:1" x14ac:dyDescent="0.25">
      <c r="A27" t="s">
        <v>82</v>
      </c>
    </row>
    <row r="28" spans="1:1" x14ac:dyDescent="0.25">
      <c r="A28" t="s">
        <v>83</v>
      </c>
    </row>
    <row r="30" spans="1:1" x14ac:dyDescent="0.25">
      <c r="A30" s="1" t="s">
        <v>19</v>
      </c>
    </row>
    <row r="31" spans="1:1" x14ac:dyDescent="0.25">
      <c r="A31" s="1" t="s">
        <v>20</v>
      </c>
    </row>
    <row r="32" spans="1:1" x14ac:dyDescent="0.25">
      <c r="A32" s="1" t="s">
        <v>21</v>
      </c>
    </row>
    <row r="33" spans="1:1" x14ac:dyDescent="0.25">
      <c r="A33" s="1" t="s">
        <v>22</v>
      </c>
    </row>
    <row r="34" spans="1:1" x14ac:dyDescent="0.25">
      <c r="A34" s="1" t="s">
        <v>23</v>
      </c>
    </row>
    <row r="35" spans="1:1" x14ac:dyDescent="0.25">
      <c r="A35" s="1" t="s">
        <v>24</v>
      </c>
    </row>
    <row r="36" spans="1:1" x14ac:dyDescent="0.25">
      <c r="A36" s="1" t="s">
        <v>25</v>
      </c>
    </row>
    <row r="37" spans="1:1" x14ac:dyDescent="0.25">
      <c r="A37" s="1" t="s">
        <v>26</v>
      </c>
    </row>
    <row r="38" spans="1:1" x14ac:dyDescent="0.25">
      <c r="A38" s="1" t="s">
        <v>27</v>
      </c>
    </row>
    <row r="39" spans="1:1" x14ac:dyDescent="0.25">
      <c r="A39" s="1" t="s">
        <v>28</v>
      </c>
    </row>
    <row r="40" spans="1:1" x14ac:dyDescent="0.25">
      <c r="A40" s="1" t="s">
        <v>30</v>
      </c>
    </row>
    <row r="41" spans="1:1" x14ac:dyDescent="0.25">
      <c r="A41" s="1" t="s">
        <v>29</v>
      </c>
    </row>
    <row r="42" spans="1:1" x14ac:dyDescent="0.25">
      <c r="A42" s="1" t="s">
        <v>31</v>
      </c>
    </row>
    <row r="43" spans="1:1" x14ac:dyDescent="0.25">
      <c r="A43" s="1" t="s">
        <v>32</v>
      </c>
    </row>
    <row r="44" spans="1:1" x14ac:dyDescent="0.25">
      <c r="A44" s="1" t="s">
        <v>33</v>
      </c>
    </row>
    <row r="45" spans="1:1" x14ac:dyDescent="0.25">
      <c r="A45" s="1" t="s">
        <v>34</v>
      </c>
    </row>
    <row r="46" spans="1:1" x14ac:dyDescent="0.25">
      <c r="A46" s="1" t="s">
        <v>36</v>
      </c>
    </row>
    <row r="51" spans="1:1" x14ac:dyDescent="0.25">
      <c r="A51" t="s">
        <v>37</v>
      </c>
    </row>
    <row r="52" spans="1:1" x14ac:dyDescent="0.25">
      <c r="A52" t="s">
        <v>84</v>
      </c>
    </row>
    <row r="54" spans="1:1" x14ac:dyDescent="0.25">
      <c r="A54" t="s">
        <v>85</v>
      </c>
    </row>
    <row r="55" spans="1:1" x14ac:dyDescent="0.25">
      <c r="A55" t="s">
        <v>86</v>
      </c>
    </row>
    <row r="56" spans="1:1" x14ac:dyDescent="0.25">
      <c r="A56" t="s">
        <v>87</v>
      </c>
    </row>
    <row r="57" spans="1:1" x14ac:dyDescent="0.25">
      <c r="A57" t="s">
        <v>88</v>
      </c>
    </row>
    <row r="58" spans="1:1" x14ac:dyDescent="0.25">
      <c r="A58" t="s">
        <v>89</v>
      </c>
    </row>
    <row r="59" spans="1:1" x14ac:dyDescent="0.25">
      <c r="A59" t="s">
        <v>90</v>
      </c>
    </row>
    <row r="60" spans="1:1" x14ac:dyDescent="0.25">
      <c r="A60" t="s">
        <v>91</v>
      </c>
    </row>
    <row r="61" spans="1:1" x14ac:dyDescent="0.25">
      <c r="A61" t="s">
        <v>92</v>
      </c>
    </row>
    <row r="62" spans="1:1" x14ac:dyDescent="0.25">
      <c r="A62" t="s">
        <v>93</v>
      </c>
    </row>
    <row r="63" spans="1:1" x14ac:dyDescent="0.25">
      <c r="A63" t="s">
        <v>94</v>
      </c>
    </row>
    <row r="64" spans="1:1" x14ac:dyDescent="0.25">
      <c r="A64" t="s">
        <v>95</v>
      </c>
    </row>
    <row r="65" spans="1:1" x14ac:dyDescent="0.25">
      <c r="A65" t="s">
        <v>96</v>
      </c>
    </row>
    <row r="66" spans="1:1" x14ac:dyDescent="0.25">
      <c r="A66" t="s">
        <v>97</v>
      </c>
    </row>
    <row r="67" spans="1:1" x14ac:dyDescent="0.25">
      <c r="A67" t="s">
        <v>98</v>
      </c>
    </row>
  </sheetData>
  <mergeCells count="1">
    <mergeCell ref="B8:B10"/>
  </mergeCells>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5a699af-2906-486e-8192-8f1adf1ff8b6" xsi:nil="true"/>
    <lcf76f155ced4ddcb4097134ff3c332f xmlns="7e3b9136-8e22-40d0-a45a-faa61bae32c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F20A3A57FC97248B23D68CEB94F3CD5" ma:contentTypeVersion="19" ma:contentTypeDescription="Create a new document." ma:contentTypeScope="" ma:versionID="ac4c469e1396876254e5923edd9a7d16">
  <xsd:schema xmlns:xsd="http://www.w3.org/2001/XMLSchema" xmlns:xs="http://www.w3.org/2001/XMLSchema" xmlns:p="http://schemas.microsoft.com/office/2006/metadata/properties" xmlns:ns1="http://schemas.microsoft.com/sharepoint/v3" xmlns:ns2="7e3b9136-8e22-40d0-a45a-faa61bae32cf" xmlns:ns3="05a699af-2906-486e-8192-8f1adf1ff8b6" targetNamespace="http://schemas.microsoft.com/office/2006/metadata/properties" ma:root="true" ma:fieldsID="d22404ea80fce61fff6a43f4261870f9" ns1:_="" ns2:_="" ns3:_="">
    <xsd:import namespace="http://schemas.microsoft.com/sharepoint/v3"/>
    <xsd:import namespace="7e3b9136-8e22-40d0-a45a-faa61bae32cf"/>
    <xsd:import namespace="05a699af-2906-486e-8192-8f1adf1ff8b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3b9136-8e22-40d0-a45a-faa61bae32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bfb4e49-6f5d-460f-8245-f0e15177ea6b" ma:termSetId="09814cd3-568e-fe90-9814-8d621ff8fb84" ma:anchorId="fba54fb3-c3e1-fe81-a776-ca4b69148c4d" ma:open="true" ma:isKeyword="false">
      <xsd:complexType>
        <xsd:sequence>
          <xsd:element ref="pc:Terms" minOccurs="0" maxOccurs="1"/>
        </xsd:sequence>
      </xsd:complexType>
    </xsd:element>
    <xsd:element name="MediaLengthInSeconds" ma:index="24" nillable="true" ma:displayName="MediaLengthInSeconds" ma:hidden="true" ma:internalName="MediaLengthInSeconds" ma:readOnly="true">
      <xsd:simpleType>
        <xsd:restriction base="dms:Unknow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5a699af-2906-486e-8192-8f1adf1ff8b6"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8368761-d91f-41be-b5dd-5a441f279eb2}" ma:internalName="TaxCatchAll" ma:showField="CatchAllData" ma:web="05a699af-2906-486e-8192-8f1adf1ff8b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CB5BC3-C3AE-47E2-81E9-EA4FEA708DDA}">
  <ds:schemaRefs>
    <ds:schemaRef ds:uri="http://schemas.microsoft.com/sharepoint/v3/contenttype/forms"/>
  </ds:schemaRefs>
</ds:datastoreItem>
</file>

<file path=customXml/itemProps2.xml><?xml version="1.0" encoding="utf-8"?>
<ds:datastoreItem xmlns:ds="http://schemas.openxmlformats.org/officeDocument/2006/customXml" ds:itemID="{D9A38579-C65A-4ABD-A080-4A7C1A5E60B2}">
  <ds:schemaRefs>
    <ds:schemaRef ds:uri="http://purl.org/dc/dcmitype/"/>
    <ds:schemaRef ds:uri="http://www.w3.org/XML/1998/namespace"/>
    <ds:schemaRef ds:uri="http://purl.org/dc/elements/1.1/"/>
    <ds:schemaRef ds:uri="http://schemas.microsoft.com/office/2006/documentManagement/types"/>
    <ds:schemaRef ds:uri="http://purl.org/dc/terms/"/>
    <ds:schemaRef ds:uri="http://schemas.microsoft.com/sharepoint/v3"/>
    <ds:schemaRef ds:uri="http://schemas.microsoft.com/office/infopath/2007/PartnerControls"/>
    <ds:schemaRef ds:uri="http://schemas.openxmlformats.org/package/2006/metadata/core-properties"/>
    <ds:schemaRef ds:uri="05a699af-2906-486e-8192-8f1adf1ff8b6"/>
    <ds:schemaRef ds:uri="7e3b9136-8e22-40d0-a45a-faa61bae32cf"/>
    <ds:schemaRef ds:uri="http://schemas.microsoft.com/office/2006/metadata/properties"/>
  </ds:schemaRefs>
</ds:datastoreItem>
</file>

<file path=customXml/itemProps3.xml><?xml version="1.0" encoding="utf-8"?>
<ds:datastoreItem xmlns:ds="http://schemas.openxmlformats.org/officeDocument/2006/customXml" ds:itemID="{194A33D3-BD9B-4D8A-83AC-12F03E4956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e3b9136-8e22-40d0-a45a-faa61bae32cf"/>
    <ds:schemaRef ds:uri="05a699af-2906-486e-8192-8f1adf1ff8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05f815e-6d54-4235-a450-1761f496af92}" enabled="1" method="Privileged" siteId="{7893571b-6c2c-4cef-b4da-7d4b266a062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3</vt:i4>
      </vt:variant>
    </vt:vector>
  </HeadingPairs>
  <TitlesOfParts>
    <vt:vector size="6" baseType="lpstr">
      <vt:lpstr>Firewall rules</vt:lpstr>
      <vt:lpstr>Inter Zone Connectivity</vt:lpstr>
      <vt:lpstr>Information Classification</vt:lpstr>
      <vt:lpstr>Destination_Zone</vt:lpstr>
      <vt:lpstr>InterZone_Validation</vt:lpstr>
      <vt:lpstr>Source_Zone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Rodolfo Conte</dc:creator>
  <cp:keywords/>
  <dc:description/>
  <cp:lastModifiedBy>Alan Cardoso_CONTR</cp:lastModifiedBy>
  <cp:revision/>
  <dcterms:created xsi:type="dcterms:W3CDTF">2019-06-18T14:41:13Z</dcterms:created>
  <dcterms:modified xsi:type="dcterms:W3CDTF">2026-06-19T12:43:25Z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bc39ae-90e8-422d-8ed1-0e6a4811b47b_Enabled">
    <vt:lpwstr>true</vt:lpwstr>
  </property>
  <property fmtid="{D5CDD505-2E9C-101B-9397-08002B2CF9AE}" pid="3" name="MSIP_Label_a8bc39ae-90e8-422d-8ed1-0e6a4811b47b_SetDate">
    <vt:lpwstr>2021-05-31T21:33:41Z</vt:lpwstr>
  </property>
  <property fmtid="{D5CDD505-2E9C-101B-9397-08002B2CF9AE}" pid="4" name="MSIP_Label_a8bc39ae-90e8-422d-8ed1-0e6a4811b47b_Method">
    <vt:lpwstr>Privileged</vt:lpwstr>
  </property>
  <property fmtid="{D5CDD505-2E9C-101B-9397-08002B2CF9AE}" pid="5" name="MSIP_Label_a8bc39ae-90e8-422d-8ed1-0e6a4811b47b_Name">
    <vt:lpwstr>Internal_0</vt:lpwstr>
  </property>
  <property fmtid="{D5CDD505-2E9C-101B-9397-08002B2CF9AE}" pid="6" name="MSIP_Label_a8bc39ae-90e8-422d-8ed1-0e6a4811b47b_SiteId">
    <vt:lpwstr>7893571b-6c2c-4cef-b4da-7d4b266a0626</vt:lpwstr>
  </property>
  <property fmtid="{D5CDD505-2E9C-101B-9397-08002B2CF9AE}" pid="7" name="MSIP_Label_a8bc39ae-90e8-422d-8ed1-0e6a4811b47b_ActionId">
    <vt:lpwstr>8290ec41-0a09-4506-b131-9a34cd0db7ab</vt:lpwstr>
  </property>
  <property fmtid="{D5CDD505-2E9C-101B-9397-08002B2CF9AE}" pid="8" name="MSIP_Label_a8bc39ae-90e8-422d-8ed1-0e6a4811b47b_ContentBits">
    <vt:lpwstr>8</vt:lpwstr>
  </property>
  <property fmtid="{D5CDD505-2E9C-101B-9397-08002B2CF9AE}" pid="9" name="ContentTypeId">
    <vt:lpwstr>0x0101008F20A3A57FC97248B23D68CEB94F3CD5</vt:lpwstr>
  </property>
</Properties>
</file>